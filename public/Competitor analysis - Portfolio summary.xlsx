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2743972-C731-4EA8-B05D-B53A14CB27FE}" xr6:coauthVersionLast="47" xr6:coauthVersionMax="47" xr10:uidLastSave="{00000000-0000-0000-0000-000000000000}"/>
  <bookViews>
    <workbookView xWindow="-120" yWindow="-120" windowWidth="38640" windowHeight="21120" xr2:uid="{92D87922-279F-494E-A955-4770B2B6C88B}"/>
  </bookViews>
  <sheets>
    <sheet name="Sheet4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4" l="1"/>
  <c r="K11" i="4"/>
</calcChain>
</file>

<file path=xl/sharedStrings.xml><?xml version="1.0" encoding="utf-8"?>
<sst xmlns="http://schemas.openxmlformats.org/spreadsheetml/2006/main" count="201" uniqueCount="108">
  <si>
    <t>Address</t>
  </si>
  <si>
    <t>Name</t>
  </si>
  <si>
    <t>Year Built</t>
  </si>
  <si>
    <t>Status</t>
  </si>
  <si>
    <t>Precinct</t>
  </si>
  <si>
    <t>Market</t>
  </si>
  <si>
    <t>City</t>
  </si>
  <si>
    <t>Grade</t>
  </si>
  <si>
    <t>Building Area</t>
  </si>
  <si>
    <t>Vacant Area (2Q25)</t>
  </si>
  <si>
    <t>Vacancy %</t>
  </si>
  <si>
    <t>Levels</t>
  </si>
  <si>
    <t>NABERS</t>
  </si>
  <si>
    <t>NABERS Expiry</t>
  </si>
  <si>
    <t>Year Electrification complete</t>
  </si>
  <si>
    <t>Electirifaction status
1:Complete
2: Underway
3: Planned</t>
  </si>
  <si>
    <t>Owners</t>
  </si>
  <si>
    <t>Completed</t>
  </si>
  <si>
    <t>A</t>
  </si>
  <si>
    <t>Under Construction</t>
  </si>
  <si>
    <t>NR</t>
  </si>
  <si>
    <t>5.5</t>
  </si>
  <si>
    <t>Core</t>
  </si>
  <si>
    <t>Sydney CBD</t>
  </si>
  <si>
    <t>Sydney</t>
  </si>
  <si>
    <t>P</t>
  </si>
  <si>
    <t>NET ZERO Tenants (&gt;5,000 sqm)</t>
  </si>
  <si>
    <t xml:space="preserve">Current all electric assets </t>
  </si>
  <si>
    <t>Options with Feasibilities completed</t>
  </si>
  <si>
    <t>&gt;5,000 sqm vacancy #</t>
  </si>
  <si>
    <t>Sydney Core Prime Grade</t>
  </si>
  <si>
    <t>Under construction all-alectric projects</t>
  </si>
  <si>
    <t>*as at 4Q25</t>
  </si>
  <si>
    <t xml:space="preserve"> Assets #</t>
  </si>
  <si>
    <t>5</t>
  </si>
  <si>
    <t>1991</t>
  </si>
  <si>
    <t>4.5</t>
  </si>
  <si>
    <t>Melbourne CBD Prime Grade</t>
  </si>
  <si>
    <t>2024</t>
  </si>
  <si>
    <t>B494604</t>
  </si>
  <si>
    <t>39 Martin Place</t>
  </si>
  <si>
    <t>Investa Commercial Property Fund (ICPF) (50%), Manulife (50%)</t>
  </si>
  <si>
    <t>B021872</t>
  </si>
  <si>
    <t>1976</t>
  </si>
  <si>
    <t>Oxford Investa Property Partners (50%), Singapore Land (40%), UOL (10%)</t>
  </si>
  <si>
    <t>B022074</t>
  </si>
  <si>
    <t>2005</t>
  </si>
  <si>
    <t>Investa Commercial Property Fund (ICPF) (50%), Investa Office Fund (IOF) (25%), China Investment Corporation (25%)</t>
  </si>
  <si>
    <t>B049628</t>
  </si>
  <si>
    <t>2019</t>
  </si>
  <si>
    <t>Investa Property Group (50%), Gwynvill Properties Pty Ltd (50%)</t>
  </si>
  <si>
    <t>QBE Management Services (11,962 sqm, Jan-31, NZC 2030)</t>
  </si>
  <si>
    <t>Aware Super  (9,440 sqm, Sept-30, NZC 2030)</t>
  </si>
  <si>
    <t>Allens (8,424 sqm, Dec-26, NZC 2050)</t>
  </si>
  <si>
    <t>Deutsche Australia Limited (8,664 sqm Oct 2026, NZC 2050)</t>
  </si>
  <si>
    <t xml:space="preserve">Norton Rose Fulbright Australia (6,354 sqm, Dec-31, NZC 2050) </t>
  </si>
  <si>
    <t>Insurance Australia Limited (1,162 sqm, April-28, NZC 2050)</t>
  </si>
  <si>
    <t xml:space="preserve">ASX Limited (11,065, Aug-38, NZC part 2025) </t>
  </si>
  <si>
    <t>Ashurst (11,500 sqm, Aug-36, NZC part 2025)</t>
  </si>
  <si>
    <t>B021839</t>
  </si>
  <si>
    <t>B022263</t>
  </si>
  <si>
    <t>Governor Phillip Tower (GPT), 1 Farrer Pl, Sydney NSW</t>
  </si>
  <si>
    <t>1 Bligh St, Sydney NSW</t>
  </si>
  <si>
    <t>1993</t>
  </si>
  <si>
    <t>DEXUS Property Group (DXS) (50%), APPF Commercial (50%)</t>
  </si>
  <si>
    <t>DEXUS Property Group (DXS),DEXUS Wholesale Property Fund (DWPF),Mercatus Dexus Australia Partnership</t>
  </si>
  <si>
    <t>Minter Ellison Lawyers
(9,612 sqm, NZC 2030, 2028)</t>
  </si>
  <si>
    <t>Clayton Utz 
(17,950 sqm, No NZC, 2031)</t>
  </si>
  <si>
    <t>King &amp; Wood Mallesons 
(11,982 sqm, Part NZC 2030, May-36)</t>
  </si>
  <si>
    <t>Governor Macquarie Tower (GMT), 1 Farrer Pl, Sydney NSW</t>
  </si>
  <si>
    <t>1 O'Connell Street</t>
  </si>
  <si>
    <t>1994</t>
  </si>
  <si>
    <t>DEXUS Property Group (DXS) (50%), Australian Prime Property Fund Commercial (APPF) (50%)</t>
  </si>
  <si>
    <t>Lendlease Real Estate Investments Ltd (50%), Harina Company Ltd (50%)</t>
  </si>
  <si>
    <t>B049755</t>
  </si>
  <si>
    <t>B061458</t>
  </si>
  <si>
    <t>200 George Street</t>
  </si>
  <si>
    <t>55 Pitt Street</t>
  </si>
  <si>
    <t>2016</t>
  </si>
  <si>
    <t xml:space="preserve">N/A </t>
  </si>
  <si>
    <t>Mirvac Group (50%), Mirvac Group / M&amp;G Real Estate Asia Fund (49%)</t>
  </si>
  <si>
    <t>Mirvac Group (34%), Mitsui Fudosan (66%)</t>
  </si>
  <si>
    <t>Work Club Global (1,239 sqm, Exp 2033, No-NZC)</t>
  </si>
  <si>
    <t>Minton Ellison Lawyers (9,615 sqm, Oct-2038, NZC 2030)</t>
  </si>
  <si>
    <t>Baker &amp; McKenzie (5,500 sqm, NZC 2030)</t>
  </si>
  <si>
    <t>B021852</t>
  </si>
  <si>
    <t>255 George Street</t>
  </si>
  <si>
    <t>Mirvac Wholesale Office Fund (50%), Keppel REIT (50%)</t>
  </si>
  <si>
    <t>BUPA Australia (5,472, Exp 2029, NZC 2040)</t>
  </si>
  <si>
    <t>126 Phillip Street, Sydney, NSW</t>
  </si>
  <si>
    <t>60 Martin Place, Sydney, NSW</t>
  </si>
  <si>
    <t>B022059</t>
  </si>
  <si>
    <t>B021840</t>
  </si>
  <si>
    <t>388 George street, Sydney, NSW</t>
  </si>
  <si>
    <t>Chifley South</t>
  </si>
  <si>
    <t>Charter Hall Prime Office Fund (CPOF) (50%), GIC (50%)</t>
  </si>
  <si>
    <t>B066752</t>
  </si>
  <si>
    <t>58 Pitt Street</t>
  </si>
  <si>
    <t>1 Elizabeth Street</t>
  </si>
  <si>
    <t>B022094</t>
  </si>
  <si>
    <t>C</t>
  </si>
  <si>
    <t>1969</t>
  </si>
  <si>
    <t>DEXUS Property Group (DXS) (100%)</t>
  </si>
  <si>
    <t>B494605</t>
  </si>
  <si>
    <t>Macquarie Group Limited (100%)</t>
  </si>
  <si>
    <t>Feasibilty complete</t>
  </si>
  <si>
    <t>Underway</t>
  </si>
  <si>
    <t>REDS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</si>
</sst>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%;\-0.0%;0.0%"/>
  </numFmts>
  <fonts count="6" x14ac:knownFonts="1"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  <family val="2"/>
    </font>
    <font>
      <sz val="10"/>
      <color rgb="FFC00000"/>
      <name val="Arial"/>
      <family val="2"/>
    </font>
    <font>
      <sz val="8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DEF4DC"/>
        <bgColor indexed="64"/>
      </patternFill>
    </fill>
    <fill>
      <patternFill patternType="solid">
        <fgColor theme="2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5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2" xfId="0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2" fillId="0" borderId="0" xfId="1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 wrapText="1"/>
    </xf>
    <xf numFmtId="165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165" fontId="0" fillId="6" borderId="2" xfId="0" applyNumberFormat="1" applyFill="1" applyBorder="1" applyAlignment="1">
      <alignment horizontal="center" vertical="center"/>
    </xf>
    <xf numFmtId="1" fontId="0" fillId="6" borderId="2" xfId="0" applyNumberFormat="1" applyFill="1" applyBorder="1" applyAlignment="1">
      <alignment horizontal="center" vertical="center"/>
    </xf>
    <xf numFmtId="14" fontId="0" fillId="6" borderId="2" xfId="0" applyNumberForma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 wrapText="1"/>
    </xf>
    <xf numFmtId="3" fontId="0" fillId="7" borderId="2" xfId="0" applyNumberFormat="1" applyFill="1" applyBorder="1" applyAlignment="1">
      <alignment horizontal="center"/>
    </xf>
    <xf numFmtId="3" fontId="0" fillId="7" borderId="2" xfId="0" applyNumberFormat="1" applyFill="1" applyBorder="1" applyAlignment="1">
      <alignment horizontal="center" vertical="center"/>
    </xf>
    <xf numFmtId="165" fontId="0" fillId="7" borderId="2" xfId="0" applyNumberFormat="1" applyFill="1" applyBorder="1" applyAlignment="1">
      <alignment horizontal="center" vertical="center"/>
    </xf>
    <xf numFmtId="1" fontId="0" fillId="7" borderId="2" xfId="0" applyNumberFormat="1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</cellXfs>
  <cellStyles count="4">
    <cellStyle name="Comma 2" xfId="3" xr:uid="{E3751218-176D-4C6C-A91D-1DA034F4C14D}"/>
    <cellStyle name="Comma 3" xfId="2" xr:uid="{E08CBB07-F814-4956-AE16-96C4E29316D3}"/>
    <cellStyle name="Normal" xfId="0" builtinId="0"/>
    <cellStyle name="Normal 2" xfId="1" xr:uid="{66BF1259-5E61-4C39-B966-6BA7F2CFD59E}"/>
  </cellStyles>
  <dxfs count="1">
    <dxf>
      <fill>
        <patternFill>
          <bgColor theme="5"/>
        </patternFill>
      </fill>
    </dxf>
  </dxfs>
  <tableStyles count="0" defaultTableStyle="TableStyleMedium2" defaultPivotStyle="PivotStyleLight16"/>
  <colors>
    <mruColors>
      <color rgb="FFDEF4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eme1">
  <a:themeElements>
    <a:clrScheme name="JLL PPT">
      <a:dk1>
        <a:srgbClr val="131E29"/>
      </a:dk1>
      <a:lt1>
        <a:srgbClr val="FFFFFF"/>
      </a:lt1>
      <a:dk2>
        <a:srgbClr val="08475E"/>
      </a:dk2>
      <a:lt2>
        <a:srgbClr val="E0C6AD"/>
      </a:lt2>
      <a:accent1>
        <a:srgbClr val="08475E"/>
      </a:accent1>
      <a:accent2>
        <a:srgbClr val="D1B9A7"/>
      </a:accent2>
      <a:accent3>
        <a:srgbClr val="0C7BA1"/>
      </a:accent3>
      <a:accent4>
        <a:srgbClr val="95C6D5"/>
      </a:accent4>
      <a:accent5>
        <a:srgbClr val="9350D7"/>
      </a:accent5>
      <a:accent6>
        <a:srgbClr val="1D3A94"/>
      </a:accent6>
      <a:hlink>
        <a:srgbClr val="E30613"/>
      </a:hlink>
      <a:folHlink>
        <a:srgbClr val="131E29"/>
      </a:folHlink>
    </a:clrScheme>
    <a:fontScheme name="JLL-2022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tx1"/>
        </a:solidFill>
        <a:ln>
          <a:noFill/>
        </a:ln>
        <a:effectLst/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txDef>
      <a:spPr>
        <a:noFill/>
      </a:spPr>
      <a:bodyPr wrap="square" lIns="0" tIns="0" rIns="0" bIns="0" rtlCol="0">
        <a:noAutofit/>
      </a:bodyPr>
      <a:lstStyle>
        <a:defPPr algn="l">
          <a:defRPr sz="1600" dirty="0" err="1" smtClean="0"/>
        </a:defPPr>
      </a:lstStyle>
    </a:txDef>
  </a:objectDefaults>
  <a:extraClrSchemeLst/>
  <a:custClrLst>
    <a:custClr name="JLL Red">
      <a:srgbClr val="E30613"/>
    </a:custClr>
    <a:custClr name="White">
      <a:srgbClr val="FFFFFF"/>
    </a:custClr>
    <a:custClr name="Ocean">
      <a:srgbClr val="BCDEE6"/>
    </a:custClr>
    <a:custClr name="Sand">
      <a:srgbClr val="E0C6AD"/>
    </a:custClr>
    <a:custClr name="Space">
      <a:srgbClr val="08475E"/>
    </a:custClr>
    <a:custClr name="Midnight">
      <a:srgbClr val="131E29"/>
    </a:custClr>
    <a:custClr name="Black">
      <a:srgbClr val="000000"/>
    </a:custClr>
    <a:custClr name="Dark Sand">
      <a:srgbClr val="D1B9A7"/>
    </a:custClr>
    <a:custClr name="Azure">
      <a:srgbClr val="0C7BA1"/>
    </a:custClr>
    <a:custClr name="Dark Ocean">
      <a:srgbClr val="95C6D5"/>
    </a:custClr>
    <a:custClr name="Lavender">
      <a:srgbClr val="9350D7"/>
    </a:custClr>
    <a:custClr name="Dark Sky">
      <a:srgbClr val="1D3A94"/>
    </a:custClr>
    <a:custClr name="Periwinkle">
      <a:srgbClr val="1D3A94"/>
    </a:custClr>
    <a:custClr name="Forest">
      <a:srgbClr val="058262"/>
    </a:custClr>
    <a:custClr name="Sunlight">
      <a:srgbClr val="FCAB7C"/>
    </a:custClr>
    <a:custClr name="Mulberry">
      <a:srgbClr val="800061"/>
    </a:custClr>
    <a:custClr name="Clay">
      <a:srgbClr val="B8A494"/>
    </a:custClr>
    <a:custClr name="Rose Red">
      <a:srgbClr val="D0355D"/>
    </a:custClr>
    <a:custClr name="Amber">
      <a:srgbClr val="F3B300"/>
    </a:custClr>
    <a:custClr name="Jungle Green">
      <a:srgbClr val="0C8348"/>
    </a:custClr>
  </a:custClrLst>
  <a:extLst>
    <a:ext uri="{05A4C25C-085E-4340-85A3-A5531E510DB2}">
      <thm15:themeFamily xmlns:thm15="http://schemas.microsoft.com/office/thememl/2012/main" name="JLL" id="{C671F1DD-07C4-4282-B3D7-F47EB85039B1}" vid="{BE5BE2C3-9E2C-4CE6-BED8-B131FFD25D73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2624E-A9B1-4563-B593-BCA99B6A54C0}">
  <dimension ref="A1:O21"/>
  <sheetViews>
    <sheetView tabSelected="1" workbookViewId="0">
      <selection activeCell="A21" sqref="A21"/>
    </sheetView>
  </sheetViews>
  <sheetFormatPr defaultRowHeight="14.25" x14ac:dyDescent="0.2"/>
  <cols>
    <col min="1" max="1" width="11.125" style="9" customWidth="1"/>
    <col min="2" max="2" width="12.25" style="9" customWidth="1"/>
    <col min="3" max="15" width="12.25" customWidth="1"/>
  </cols>
  <sheetData>
    <row r="1" spans="1:15" x14ac:dyDescent="0.2">
      <c r="A1" s="1" t="s">
        <v>107</v>
      </c>
      <c r="B1" s="20" t="s">
        <v>42</v>
      </c>
      <c r="C1" s="20" t="s">
        <v>39</v>
      </c>
      <c r="D1" s="20" t="s">
        <v>99</v>
      </c>
      <c r="E1" s="20" t="s">
        <v>103</v>
      </c>
      <c r="F1" s="20" t="s">
        <v>74</v>
      </c>
      <c r="G1" s="20" t="s">
        <v>75</v>
      </c>
      <c r="H1" s="20" t="s">
        <v>96</v>
      </c>
      <c r="I1" s="20" t="s">
        <v>45</v>
      </c>
      <c r="J1" s="20" t="s">
        <v>48</v>
      </c>
      <c r="K1" t="s">
        <v>59</v>
      </c>
      <c r="L1" t="s">
        <v>92</v>
      </c>
      <c r="M1" t="s">
        <v>91</v>
      </c>
      <c r="N1" t="s">
        <v>60</v>
      </c>
      <c r="O1" s="20" t="s">
        <v>85</v>
      </c>
    </row>
    <row r="2" spans="1:15" ht="71.25" x14ac:dyDescent="0.2">
      <c r="A2" s="1" t="s">
        <v>0</v>
      </c>
      <c r="B2" s="31" t="s">
        <v>93</v>
      </c>
      <c r="C2" s="25" t="s">
        <v>40</v>
      </c>
      <c r="D2" s="25" t="s">
        <v>97</v>
      </c>
      <c r="E2" s="25" t="s">
        <v>98</v>
      </c>
      <c r="F2" s="25" t="s">
        <v>76</v>
      </c>
      <c r="G2" s="41" t="s">
        <v>77</v>
      </c>
      <c r="H2" s="41" t="s">
        <v>94</v>
      </c>
      <c r="I2" s="12" t="s">
        <v>89</v>
      </c>
      <c r="J2" s="31" t="s">
        <v>90</v>
      </c>
      <c r="K2" s="12" t="s">
        <v>61</v>
      </c>
      <c r="L2" s="31" t="s">
        <v>69</v>
      </c>
      <c r="M2" s="12" t="s">
        <v>70</v>
      </c>
      <c r="N2" s="31" t="s">
        <v>62</v>
      </c>
      <c r="O2" s="12" t="s">
        <v>86</v>
      </c>
    </row>
    <row r="3" spans="1:15" x14ac:dyDescent="0.2">
      <c r="A3" s="1" t="s">
        <v>1</v>
      </c>
      <c r="B3" s="27"/>
      <c r="C3" s="23"/>
      <c r="D3" s="39"/>
      <c r="E3" s="39"/>
      <c r="F3" s="23"/>
      <c r="G3" s="40"/>
      <c r="H3" s="36"/>
      <c r="I3" s="10"/>
      <c r="J3" s="27"/>
      <c r="K3" s="10"/>
      <c r="L3" s="27"/>
      <c r="M3" s="10"/>
      <c r="N3" s="27"/>
      <c r="O3" s="10"/>
    </row>
    <row r="4" spans="1:15" x14ac:dyDescent="0.2">
      <c r="A4" s="1" t="s">
        <v>3</v>
      </c>
      <c r="B4" s="27" t="s">
        <v>17</v>
      </c>
      <c r="C4" s="23" t="s">
        <v>17</v>
      </c>
      <c r="D4" s="39" t="s">
        <v>17</v>
      </c>
      <c r="E4" s="39" t="s">
        <v>17</v>
      </c>
      <c r="F4" s="23" t="s">
        <v>17</v>
      </c>
      <c r="G4" s="40" t="s">
        <v>19</v>
      </c>
      <c r="H4" s="36" t="s">
        <v>19</v>
      </c>
      <c r="I4" s="10" t="s">
        <v>17</v>
      </c>
      <c r="J4" s="27" t="s">
        <v>17</v>
      </c>
      <c r="K4" s="10" t="s">
        <v>17</v>
      </c>
      <c r="L4" s="27" t="s">
        <v>17</v>
      </c>
      <c r="M4" s="10" t="s">
        <v>17</v>
      </c>
      <c r="N4" s="27" t="s">
        <v>17</v>
      </c>
      <c r="O4" s="10" t="s">
        <v>17</v>
      </c>
    </row>
    <row r="5" spans="1:15" x14ac:dyDescent="0.2">
      <c r="A5" s="1" t="s">
        <v>4</v>
      </c>
      <c r="B5" s="27" t="s">
        <v>22</v>
      </c>
      <c r="C5" s="23" t="s">
        <v>22</v>
      </c>
      <c r="D5" s="39" t="s">
        <v>22</v>
      </c>
      <c r="E5" s="39" t="s">
        <v>22</v>
      </c>
      <c r="F5" s="23" t="s">
        <v>22</v>
      </c>
      <c r="G5" s="40" t="s">
        <v>22</v>
      </c>
      <c r="H5" s="36" t="s">
        <v>22</v>
      </c>
      <c r="I5" s="10" t="s">
        <v>22</v>
      </c>
      <c r="J5" s="27" t="s">
        <v>22</v>
      </c>
      <c r="K5" s="10" t="s">
        <v>22</v>
      </c>
      <c r="L5" s="27" t="s">
        <v>22</v>
      </c>
      <c r="M5" s="10" t="s">
        <v>22</v>
      </c>
      <c r="N5" s="27" t="s">
        <v>22</v>
      </c>
      <c r="O5" s="10" t="s">
        <v>22</v>
      </c>
    </row>
    <row r="6" spans="1:15" x14ac:dyDescent="0.2">
      <c r="A6" s="1" t="s">
        <v>5</v>
      </c>
      <c r="B6" s="27" t="s">
        <v>23</v>
      </c>
      <c r="C6" s="23" t="s">
        <v>23</v>
      </c>
      <c r="D6" s="39" t="s">
        <v>23</v>
      </c>
      <c r="E6" s="39" t="s">
        <v>23</v>
      </c>
      <c r="F6" s="23" t="s">
        <v>23</v>
      </c>
      <c r="G6" s="40" t="s">
        <v>23</v>
      </c>
      <c r="H6" s="36" t="s">
        <v>23</v>
      </c>
      <c r="I6" s="10" t="s">
        <v>23</v>
      </c>
      <c r="J6" s="27" t="s">
        <v>23</v>
      </c>
      <c r="K6" s="10" t="s">
        <v>23</v>
      </c>
      <c r="L6" s="27" t="s">
        <v>23</v>
      </c>
      <c r="M6" s="10" t="s">
        <v>23</v>
      </c>
      <c r="N6" s="27" t="s">
        <v>23</v>
      </c>
      <c r="O6" s="10" t="s">
        <v>23</v>
      </c>
    </row>
    <row r="7" spans="1:15" x14ac:dyDescent="0.2">
      <c r="A7" s="1" t="s">
        <v>6</v>
      </c>
      <c r="B7" s="27" t="s">
        <v>24</v>
      </c>
      <c r="C7" s="23" t="s">
        <v>24</v>
      </c>
      <c r="D7" s="39" t="s">
        <v>24</v>
      </c>
      <c r="E7" s="39" t="s">
        <v>24</v>
      </c>
      <c r="F7" s="23" t="s">
        <v>24</v>
      </c>
      <c r="G7" s="40" t="s">
        <v>24</v>
      </c>
      <c r="H7" s="36" t="s">
        <v>24</v>
      </c>
      <c r="I7" s="10" t="s">
        <v>24</v>
      </c>
      <c r="J7" s="27" t="s">
        <v>24</v>
      </c>
      <c r="K7" s="10" t="s">
        <v>24</v>
      </c>
      <c r="L7" s="27" t="s">
        <v>24</v>
      </c>
      <c r="M7" s="10" t="s">
        <v>24</v>
      </c>
      <c r="N7" s="27" t="s">
        <v>24</v>
      </c>
      <c r="O7" s="10" t="s">
        <v>24</v>
      </c>
    </row>
    <row r="8" spans="1:15" x14ac:dyDescent="0.2">
      <c r="A8" s="1" t="s">
        <v>7</v>
      </c>
      <c r="B8" s="27" t="s">
        <v>18</v>
      </c>
      <c r="C8" s="23" t="s">
        <v>18</v>
      </c>
      <c r="D8" s="39" t="s">
        <v>100</v>
      </c>
      <c r="E8" s="39" t="s">
        <v>25</v>
      </c>
      <c r="F8" s="23" t="s">
        <v>25</v>
      </c>
      <c r="G8" s="40" t="s">
        <v>25</v>
      </c>
      <c r="H8" s="36" t="s">
        <v>25</v>
      </c>
      <c r="I8" s="10" t="s">
        <v>25</v>
      </c>
      <c r="J8" s="27" t="s">
        <v>25</v>
      </c>
      <c r="K8" s="10" t="s">
        <v>25</v>
      </c>
      <c r="L8" s="27" t="s">
        <v>25</v>
      </c>
      <c r="M8" s="10" t="s">
        <v>25</v>
      </c>
      <c r="N8" s="27" t="s">
        <v>25</v>
      </c>
      <c r="O8" s="10" t="s">
        <v>18</v>
      </c>
    </row>
    <row r="9" spans="1:15" ht="28.5" x14ac:dyDescent="0.2">
      <c r="A9" s="1" t="s">
        <v>8</v>
      </c>
      <c r="B9" s="30">
        <v>38188</v>
      </c>
      <c r="C9" s="24">
        <v>32157</v>
      </c>
      <c r="D9" s="38">
        <v>1934</v>
      </c>
      <c r="E9" s="38">
        <v>65878</v>
      </c>
      <c r="F9" s="24">
        <v>38750</v>
      </c>
      <c r="G9" s="42">
        <v>65000</v>
      </c>
      <c r="H9" s="43">
        <v>53120</v>
      </c>
      <c r="I9" s="11">
        <v>42134</v>
      </c>
      <c r="J9" s="30">
        <v>41438</v>
      </c>
      <c r="K9" s="11">
        <v>54465</v>
      </c>
      <c r="L9" s="30">
        <v>30000</v>
      </c>
      <c r="M9" s="11">
        <v>35600</v>
      </c>
      <c r="N9" s="30">
        <v>42360</v>
      </c>
      <c r="O9" s="11">
        <v>38805</v>
      </c>
    </row>
    <row r="10" spans="1:15" ht="28.5" x14ac:dyDescent="0.2">
      <c r="A10" s="1" t="s">
        <v>9</v>
      </c>
      <c r="B10" s="30">
        <v>1250</v>
      </c>
      <c r="C10" s="24">
        <v>2237</v>
      </c>
      <c r="D10" s="38">
        <v>120</v>
      </c>
      <c r="E10" s="38">
        <v>4147</v>
      </c>
      <c r="F10" s="24">
        <v>0</v>
      </c>
      <c r="G10" s="42">
        <v>44000</v>
      </c>
      <c r="H10" s="43">
        <v>0</v>
      </c>
      <c r="I10" s="11">
        <v>11312</v>
      </c>
      <c r="J10" s="30">
        <v>3008</v>
      </c>
      <c r="K10" s="11">
        <v>2656</v>
      </c>
      <c r="L10" s="30">
        <v>2309</v>
      </c>
      <c r="M10" s="11">
        <v>6897</v>
      </c>
      <c r="N10" s="30">
        <v>3718</v>
      </c>
      <c r="O10" s="11">
        <v>2501</v>
      </c>
    </row>
    <row r="11" spans="1:15" x14ac:dyDescent="0.2">
      <c r="A11" s="1" t="s">
        <v>10</v>
      </c>
      <c r="B11" s="26">
        <v>3.2732795642610245E-2</v>
      </c>
      <c r="C11" s="32">
        <v>6.9564946978884851E-2</v>
      </c>
      <c r="D11" s="32">
        <v>6.2047569803516028E-2</v>
      </c>
      <c r="E11" s="32">
        <v>6.2949694890555269E-2</v>
      </c>
      <c r="F11" s="32">
        <v>0</v>
      </c>
      <c r="G11" s="44">
        <v>0.67692307692307696</v>
      </c>
      <c r="H11" s="44">
        <v>0</v>
      </c>
      <c r="I11" s="4">
        <v>0.26847676460815495</v>
      </c>
      <c r="J11" s="26">
        <v>7.2590375983396876E-2</v>
      </c>
      <c r="K11" s="4">
        <f>K10/K9</f>
        <v>4.8765262094923344E-2</v>
      </c>
      <c r="L11" s="26">
        <v>7.6966666666666669E-2</v>
      </c>
      <c r="M11" s="4">
        <v>0.19373595505617977</v>
      </c>
      <c r="N11" s="26">
        <f t="shared" ref="N11" si="0">N10/N9</f>
        <v>8.7771482530689324E-2</v>
      </c>
      <c r="O11" s="4">
        <v>6.4450457415281534E-2</v>
      </c>
    </row>
    <row r="12" spans="1:15" x14ac:dyDescent="0.2">
      <c r="A12" s="1" t="s">
        <v>2</v>
      </c>
      <c r="B12" s="27" t="s">
        <v>43</v>
      </c>
      <c r="C12" s="23" t="s">
        <v>38</v>
      </c>
      <c r="D12" s="23" t="s">
        <v>101</v>
      </c>
      <c r="E12" s="23" t="s">
        <v>38</v>
      </c>
      <c r="F12" s="23" t="s">
        <v>78</v>
      </c>
      <c r="G12" s="36">
        <v>2027</v>
      </c>
      <c r="H12" s="36">
        <v>2027</v>
      </c>
      <c r="I12" s="5" t="s">
        <v>46</v>
      </c>
      <c r="J12" s="27" t="s">
        <v>49</v>
      </c>
      <c r="K12" s="5" t="s">
        <v>63</v>
      </c>
      <c r="L12" s="27" t="s">
        <v>71</v>
      </c>
      <c r="M12" s="5" t="s">
        <v>35</v>
      </c>
      <c r="N12" s="27">
        <v>2011</v>
      </c>
      <c r="O12" s="5">
        <v>1985</v>
      </c>
    </row>
    <row r="13" spans="1:15" x14ac:dyDescent="0.2">
      <c r="A13" s="1" t="s">
        <v>11</v>
      </c>
      <c r="B13" s="28">
        <v>30</v>
      </c>
      <c r="C13" s="33">
        <v>28</v>
      </c>
      <c r="D13" s="33">
        <v>0</v>
      </c>
      <c r="E13" s="33">
        <v>0</v>
      </c>
      <c r="F13" s="33">
        <v>37</v>
      </c>
      <c r="G13" s="45">
        <v>55</v>
      </c>
      <c r="H13" s="45">
        <v>37</v>
      </c>
      <c r="I13" s="6">
        <v>0</v>
      </c>
      <c r="J13" s="28">
        <v>31</v>
      </c>
      <c r="K13" s="6">
        <v>64</v>
      </c>
      <c r="L13" s="28">
        <v>0</v>
      </c>
      <c r="M13" s="6">
        <v>0</v>
      </c>
      <c r="N13" s="28"/>
      <c r="O13" s="6">
        <v>29</v>
      </c>
    </row>
    <row r="14" spans="1:15" x14ac:dyDescent="0.2">
      <c r="A14" s="1" t="s">
        <v>12</v>
      </c>
      <c r="B14" s="27" t="s">
        <v>34</v>
      </c>
      <c r="C14" s="23" t="s">
        <v>20</v>
      </c>
      <c r="D14" s="23" t="s">
        <v>20</v>
      </c>
      <c r="E14" s="23" t="s">
        <v>20</v>
      </c>
      <c r="F14" s="23" t="s">
        <v>21</v>
      </c>
      <c r="G14" s="36" t="s">
        <v>79</v>
      </c>
      <c r="H14" s="36" t="s">
        <v>79</v>
      </c>
      <c r="I14" s="5" t="s">
        <v>34</v>
      </c>
      <c r="J14" s="27" t="s">
        <v>34</v>
      </c>
      <c r="K14" s="5" t="s">
        <v>34</v>
      </c>
      <c r="L14" s="27" t="s">
        <v>34</v>
      </c>
      <c r="M14" s="5" t="s">
        <v>36</v>
      </c>
      <c r="N14" s="27">
        <v>5</v>
      </c>
      <c r="O14" s="5">
        <v>5.5</v>
      </c>
    </row>
    <row r="15" spans="1:15" ht="28.5" x14ac:dyDescent="0.2">
      <c r="A15" s="2" t="s">
        <v>13</v>
      </c>
      <c r="B15" s="29">
        <v>45963</v>
      </c>
      <c r="C15" s="34" t="s">
        <v>20</v>
      </c>
      <c r="D15" s="34" t="s">
        <v>20</v>
      </c>
      <c r="E15" s="34" t="s">
        <v>20</v>
      </c>
      <c r="F15" s="34">
        <v>46497</v>
      </c>
      <c r="G15" s="46"/>
      <c r="H15" s="46"/>
      <c r="I15" s="7">
        <v>46218</v>
      </c>
      <c r="J15" s="29">
        <v>45968</v>
      </c>
      <c r="K15" s="7">
        <v>46120</v>
      </c>
      <c r="L15" s="29">
        <v>45755</v>
      </c>
      <c r="M15" s="7">
        <v>46189</v>
      </c>
      <c r="N15" s="29">
        <v>46198</v>
      </c>
      <c r="O15" s="7">
        <v>46367</v>
      </c>
    </row>
    <row r="16" spans="1:15" ht="42.75" x14ac:dyDescent="0.2">
      <c r="A16" s="1" t="s">
        <v>14</v>
      </c>
      <c r="B16" s="21"/>
      <c r="C16" s="35">
        <v>2024</v>
      </c>
      <c r="D16" s="35">
        <v>1969</v>
      </c>
      <c r="E16" s="35">
        <v>2024</v>
      </c>
      <c r="F16" s="35">
        <v>2026</v>
      </c>
      <c r="G16" s="47">
        <v>2027</v>
      </c>
      <c r="H16" s="48">
        <v>2027</v>
      </c>
      <c r="I16" s="8"/>
      <c r="J16" s="21"/>
      <c r="K16" s="8"/>
      <c r="L16" s="21"/>
      <c r="M16" s="8"/>
      <c r="N16" s="21"/>
      <c r="O16" s="8"/>
    </row>
    <row r="17" spans="1:15" ht="71.25" x14ac:dyDescent="0.2">
      <c r="A17" s="3" t="s">
        <v>15</v>
      </c>
      <c r="B17" s="21" t="s">
        <v>105</v>
      </c>
      <c r="C17" s="35" t="s">
        <v>17</v>
      </c>
      <c r="D17" s="35" t="s">
        <v>17</v>
      </c>
      <c r="E17" s="35" t="s">
        <v>17</v>
      </c>
      <c r="F17" s="35" t="s">
        <v>17</v>
      </c>
      <c r="G17" s="47" t="s">
        <v>106</v>
      </c>
      <c r="H17" s="47" t="s">
        <v>106</v>
      </c>
      <c r="I17" s="22" t="s">
        <v>105</v>
      </c>
      <c r="J17" s="21" t="s">
        <v>105</v>
      </c>
      <c r="K17" s="22" t="s">
        <v>105</v>
      </c>
      <c r="L17" s="21" t="s">
        <v>105</v>
      </c>
      <c r="M17" s="22" t="s">
        <v>105</v>
      </c>
      <c r="N17" s="21" t="s">
        <v>105</v>
      </c>
      <c r="O17" s="22" t="s">
        <v>105</v>
      </c>
    </row>
    <row r="18" spans="1:15" ht="156.75" x14ac:dyDescent="0.2">
      <c r="A18" s="1" t="s">
        <v>16</v>
      </c>
      <c r="B18" s="31" t="s">
        <v>44</v>
      </c>
      <c r="C18" s="25" t="s">
        <v>41</v>
      </c>
      <c r="D18" s="25" t="s">
        <v>102</v>
      </c>
      <c r="E18" s="25" t="s">
        <v>104</v>
      </c>
      <c r="F18" s="25" t="s">
        <v>80</v>
      </c>
      <c r="G18" s="41" t="s">
        <v>81</v>
      </c>
      <c r="H18" s="41" t="s">
        <v>95</v>
      </c>
      <c r="I18" s="12" t="s">
        <v>47</v>
      </c>
      <c r="J18" s="31" t="s">
        <v>50</v>
      </c>
      <c r="K18" s="12" t="s">
        <v>64</v>
      </c>
      <c r="L18" s="31" t="s">
        <v>72</v>
      </c>
      <c r="M18" s="12" t="s">
        <v>73</v>
      </c>
      <c r="N18" s="31" t="s">
        <v>65</v>
      </c>
      <c r="O18" s="12" t="s">
        <v>87</v>
      </c>
    </row>
    <row r="19" spans="1:15" ht="85.5" x14ac:dyDescent="0.2">
      <c r="A19" s="1" t="s">
        <v>26</v>
      </c>
      <c r="B19" s="31" t="s">
        <v>51</v>
      </c>
      <c r="C19" s="25" t="s">
        <v>57</v>
      </c>
      <c r="D19" s="37"/>
      <c r="E19" s="25"/>
      <c r="F19" s="25" t="s">
        <v>82</v>
      </c>
      <c r="G19" s="41" t="s">
        <v>83</v>
      </c>
      <c r="H19" s="41"/>
      <c r="I19" s="12" t="s">
        <v>53</v>
      </c>
      <c r="J19" s="31" t="s">
        <v>55</v>
      </c>
      <c r="K19" s="12" t="s">
        <v>66</v>
      </c>
      <c r="L19" s="31"/>
      <c r="M19" s="12"/>
      <c r="N19" s="31" t="s">
        <v>67</v>
      </c>
      <c r="O19" s="12" t="s">
        <v>88</v>
      </c>
    </row>
    <row r="20" spans="1:15" ht="85.5" x14ac:dyDescent="0.2">
      <c r="A20" s="1" t="s">
        <v>26</v>
      </c>
      <c r="B20" s="31" t="s">
        <v>52</v>
      </c>
      <c r="C20" s="25" t="s">
        <v>58</v>
      </c>
      <c r="D20" s="25"/>
      <c r="E20" s="25"/>
      <c r="F20" s="25"/>
      <c r="G20" s="41" t="s">
        <v>84</v>
      </c>
      <c r="H20" s="41"/>
      <c r="I20" s="12" t="s">
        <v>54</v>
      </c>
      <c r="J20" s="31"/>
      <c r="K20" s="12" t="s">
        <v>68</v>
      </c>
      <c r="L20" s="31"/>
      <c r="M20" s="12"/>
      <c r="N20" s="31"/>
      <c r="O20" s="12"/>
    </row>
    <row r="21" spans="1:15" ht="85.5" x14ac:dyDescent="0.2">
      <c r="A21" s="1" t="s">
        <v>26</v>
      </c>
      <c r="B21" s="31"/>
      <c r="C21" s="25"/>
      <c r="D21" s="25"/>
      <c r="E21" s="25"/>
      <c r="F21" s="25"/>
      <c r="G21" s="41" t="s">
        <v>56</v>
      </c>
      <c r="H21" s="41"/>
      <c r="I21" s="12"/>
      <c r="J21" s="31"/>
      <c r="K21" s="12"/>
      <c r="L21" s="31"/>
      <c r="M21" s="12"/>
      <c r="N21" s="31"/>
      <c r="O21" s="12"/>
    </row>
  </sheetData>
  <conditionalFormatting sqref="B1:C1 I1:J1">
    <cfRule type="duplicateValues" dxfId="0" priority="1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C950C-E1BC-480B-A7CB-C91B84ABBB2B}">
  <dimension ref="D12:F24"/>
  <sheetViews>
    <sheetView topLeftCell="A7" workbookViewId="0">
      <selection activeCell="D12" sqref="D12:F24"/>
    </sheetView>
  </sheetViews>
  <sheetFormatPr defaultRowHeight="14.25" x14ac:dyDescent="0.2"/>
  <cols>
    <col min="4" max="4" width="48.75" customWidth="1"/>
    <col min="5" max="5" width="9.25" customWidth="1"/>
    <col min="6" max="6" width="13" customWidth="1"/>
  </cols>
  <sheetData>
    <row r="12" spans="4:6" ht="28.5" x14ac:dyDescent="0.2">
      <c r="D12" s="13"/>
      <c r="E12" s="14" t="s">
        <v>33</v>
      </c>
      <c r="F12" s="14" t="s">
        <v>29</v>
      </c>
    </row>
    <row r="13" spans="4:6" x14ac:dyDescent="0.2">
      <c r="D13" s="15" t="s">
        <v>30</v>
      </c>
      <c r="E13" s="15">
        <v>43</v>
      </c>
      <c r="F13" s="15">
        <v>10</v>
      </c>
    </row>
    <row r="14" spans="4:6" x14ac:dyDescent="0.2">
      <c r="D14" s="15" t="s">
        <v>27</v>
      </c>
      <c r="E14" s="16">
        <v>3</v>
      </c>
      <c r="F14" s="15">
        <v>0</v>
      </c>
    </row>
    <row r="15" spans="4:6" x14ac:dyDescent="0.2">
      <c r="D15" s="16" t="s">
        <v>31</v>
      </c>
      <c r="E15" s="16">
        <v>3</v>
      </c>
      <c r="F15" s="16">
        <v>2</v>
      </c>
    </row>
    <row r="16" spans="4:6" x14ac:dyDescent="0.2">
      <c r="D16" s="16" t="s">
        <v>28</v>
      </c>
      <c r="E16" s="16">
        <v>12</v>
      </c>
      <c r="F16" s="16">
        <v>3</v>
      </c>
    </row>
    <row r="17" spans="4:6" x14ac:dyDescent="0.2">
      <c r="D17" s="18" t="s">
        <v>32</v>
      </c>
      <c r="E17" s="17"/>
      <c r="F17" s="17"/>
    </row>
    <row r="19" spans="4:6" ht="28.5" x14ac:dyDescent="0.2">
      <c r="D19" s="13"/>
      <c r="E19" s="14" t="s">
        <v>33</v>
      </c>
      <c r="F19" s="14" t="s">
        <v>29</v>
      </c>
    </row>
    <row r="20" spans="4:6" x14ac:dyDescent="0.2">
      <c r="D20" s="15" t="s">
        <v>37</v>
      </c>
      <c r="E20" s="15">
        <v>114</v>
      </c>
      <c r="F20" s="15">
        <v>51</v>
      </c>
    </row>
    <row r="21" spans="4:6" x14ac:dyDescent="0.2">
      <c r="D21" s="16" t="s">
        <v>27</v>
      </c>
      <c r="E21" s="16">
        <v>2</v>
      </c>
      <c r="F21" s="16">
        <v>2</v>
      </c>
    </row>
    <row r="22" spans="4:6" x14ac:dyDescent="0.2">
      <c r="D22" s="15" t="s">
        <v>31</v>
      </c>
      <c r="E22" s="16">
        <v>2</v>
      </c>
      <c r="F22" s="16">
        <v>1</v>
      </c>
    </row>
    <row r="23" spans="4:6" x14ac:dyDescent="0.2">
      <c r="D23" s="16" t="s">
        <v>28</v>
      </c>
      <c r="E23" s="16">
        <v>21</v>
      </c>
      <c r="F23" s="16">
        <v>6</v>
      </c>
    </row>
    <row r="24" spans="4:6" x14ac:dyDescent="0.2">
      <c r="D24" s="19" t="s">
        <v>32</v>
      </c>
      <c r="E24" s="17"/>
      <c r="F24" s="1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87541-97bd-4473-bb6a-9678edb2939b">
      <Terms xmlns="http://schemas.microsoft.com/office/infopath/2007/PartnerControls"/>
    </lcf76f155ced4ddcb4097134ff3c332f>
    <TaxCatchAll xmlns="ca9442cc-a05d-4b87-8e78-41eef6e3af4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1B7E187398B42B16C926B17362296" ma:contentTypeVersion="19" ma:contentTypeDescription="Create a new document." ma:contentTypeScope="" ma:versionID="faf98735b9fbb14bdaf78a62a24b5a20">
  <xsd:schema xmlns:xsd="http://www.w3.org/2001/XMLSchema" xmlns:xs="http://www.w3.org/2001/XMLSchema" xmlns:p="http://schemas.microsoft.com/office/2006/metadata/properties" xmlns:ns2="23087541-97bd-4473-bb6a-9678edb2939b" xmlns:ns3="ca9442cc-a05d-4b87-8e78-41eef6e3af47" targetNamespace="http://schemas.microsoft.com/office/2006/metadata/properties" ma:root="true" ma:fieldsID="07eaa884a4e2ceed885a74e033bf7370" ns2:_="" ns3:_="">
    <xsd:import namespace="23087541-97bd-4473-bb6a-9678edb2939b"/>
    <xsd:import namespace="ca9442cc-a05d-4b87-8e78-41eef6e3a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87541-97bd-4473-bb6a-9678edb293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ae13d7f-ecf8-4f55-952b-8942762ab4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9442cc-a05d-4b87-8e78-41eef6e3af4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720775d-cf89-4eb9-b007-8ca3b203480b}" ma:internalName="TaxCatchAll" ma:showField="CatchAllData" ma:web="ca9442cc-a05d-4b87-8e78-41eef6e3a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8DC68-103F-45BD-B963-F169908ABB3B}">
  <ds:schemaRefs>
    <ds:schemaRef ds:uri="http://schemas.microsoft.com/office/2006/metadata/properties"/>
    <ds:schemaRef ds:uri="http://schemas.microsoft.com/office/infopath/2007/PartnerControls"/>
    <ds:schemaRef ds:uri="23087541-97bd-4473-bb6a-9678edb2939b"/>
    <ds:schemaRef ds:uri="ca9442cc-a05d-4b87-8e78-41eef6e3af47"/>
  </ds:schemaRefs>
</ds:datastoreItem>
</file>

<file path=customXml/itemProps2.xml><?xml version="1.0" encoding="utf-8"?>
<ds:datastoreItem xmlns:ds="http://schemas.openxmlformats.org/officeDocument/2006/customXml" ds:itemID="{38974F93-B564-4A0F-8118-06615C66AB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6461A6-1E48-488D-B246-65273F32B5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087541-97bd-4473-bb6a-9678edb2939b"/>
    <ds:schemaRef ds:uri="ca9442cc-a05d-4b87-8e78-41eef6e3af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Sheet3</vt:lpstr>
    </vt:vector>
  </TitlesOfParts>
  <Company>JLL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McFarlane, Annabel</dc:creator>
  <cp:lastModifiedBy>Linkletter, Sean</cp:lastModifiedBy>
  <dcterms:created xsi:type="dcterms:W3CDTF">2026-02-11T06:12:15Z</dcterms:created>
  <dcterms:modified xsi:type="dcterms:W3CDTF">2026-06-22T10:38:19Z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0x010100E911B7E187398B42B16C926B17362296</vt:lpwstr>
  </property>
  <property fmtid="{D5CDD505-2E9C-101B-9397-08002B2CF9AE}" pid="3" name="MediaServiceImageTags">
    <vt:lpwstr/>
  </property>
</Properties>
</file>